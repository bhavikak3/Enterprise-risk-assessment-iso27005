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5442ec3531550b/Desktop/"/>
    </mc:Choice>
  </mc:AlternateContent>
  <xr:revisionPtr revIDLastSave="13" documentId="8_{7298868F-DB41-4760-8892-F317C92CCE22}" xr6:coauthVersionLast="47" xr6:coauthVersionMax="47" xr10:uidLastSave="{1969807F-B1AE-4CD4-AEC0-AA0DF3069656}"/>
  <bookViews>
    <workbookView xWindow="-108" yWindow="-108" windowWidth="23256" windowHeight="12456" xr2:uid="{DC3C06C3-5FAD-4AA4-86FF-A96C2BA91975}"/>
  </bookViews>
  <sheets>
    <sheet name="Enterprise_Risk_Register_ISO27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2" i="1"/>
  <c r="Q3" i="1"/>
  <c r="Q4" i="1"/>
  <c r="Q11" i="1"/>
  <c r="Q2" i="1"/>
  <c r="P4" i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P3" i="1"/>
  <c r="H3" i="1"/>
  <c r="I3" i="1" s="1"/>
  <c r="B15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I11" i="1" s="1"/>
  <c r="H2" i="1"/>
  <c r="B16" i="1" l="1"/>
</calcChain>
</file>

<file path=xl/sharedStrings.xml><?xml version="1.0" encoding="utf-8"?>
<sst xmlns="http://schemas.openxmlformats.org/spreadsheetml/2006/main" count="122" uniqueCount="106">
  <si>
    <t>Risk ID</t>
  </si>
  <si>
    <t>Asset Category</t>
  </si>
  <si>
    <t>Information Asset</t>
  </si>
  <si>
    <t>Vulnerability (Weakness)</t>
  </si>
  <si>
    <t>Threat Event</t>
  </si>
  <si>
    <t>Inherent Likelihood (1-5)</t>
  </si>
  <si>
    <t>Inherent Impact (1-5)</t>
  </si>
  <si>
    <t>Inherent Risk Score</t>
  </si>
  <si>
    <t>Inherent Rating</t>
  </si>
  <si>
    <t>ISO/IEC 27001:2022 Control Mapped</t>
  </si>
  <si>
    <t>Risk Treatment Strategy</t>
  </si>
  <si>
    <t>Control Implementation (Mitigation Action)</t>
  </si>
  <si>
    <t>Control Owner</t>
  </si>
  <si>
    <t>Residual Likelihood (1-5)</t>
  </si>
  <si>
    <t>Residual Impact (1-5)</t>
  </si>
  <si>
    <t>Residual Risk Score</t>
  </si>
  <si>
    <t>Residual Rating</t>
  </si>
  <si>
    <t>Action Status</t>
  </si>
  <si>
    <t>RSK-001</t>
  </si>
  <si>
    <t>Cloud Infrastructure</t>
  </si>
  <si>
    <t>Production Oracle Database</t>
  </si>
  <si>
    <t>Unpatched known security vulnerabilities (CVEs) on database host OS</t>
  </si>
  <si>
    <t>External cyber adversary scanning open ports and exploiting remote code execution</t>
  </si>
  <si>
    <t>ISO 27001: A.8.8 (Management of technical vulnerabilities)</t>
  </si>
  <si>
    <t>Mitigate</t>
  </si>
  <si>
    <t>Implement automated 30-day patch cadence; mandate emergency patching within 7 days for Critical CVEs</t>
  </si>
  <si>
    <t>Lead DBA / Infrastructure Head</t>
  </si>
  <si>
    <t>In Progress</t>
  </si>
  <si>
    <t>RSK-002</t>
  </si>
  <si>
    <t>Identity &amp; Access</t>
  </si>
  <si>
    <t>Active Directory / Identity Provider</t>
  </si>
  <si>
    <t>Delayed account deprovisioning for employee leavers (3-5 days lag)</t>
  </si>
  <si>
    <t>Ex-employee or credential harvester gaining unauthorized access to internal systems</t>
  </si>
  <si>
    <t>ISO 27001: A.6.5 (Responsibilities after termination of employment)</t>
  </si>
  <si>
    <t>Automate HR-to-IT deprovisioning workflow in ServiceNow; enforce mandatory account disablement SLA &lt; 24 hours</t>
  </si>
  <si>
    <t>IT Service Desk Manager</t>
  </si>
  <si>
    <t>Closed</t>
  </si>
  <si>
    <t>RSK-003</t>
  </si>
  <si>
    <t>Third-Party / Vendors</t>
  </si>
  <si>
    <t>Cloud Software Vendor (SaaS CRM)</t>
  </si>
  <si>
    <t>Vendor lacking SOC 2 Type II assurance &amp; data encryption validation</t>
  </si>
  <si>
    <t>Third-party data breach exposing confidential client sales contracts and pricing</t>
  </si>
  <si>
    <t>ISO 27001: A.5.19 &amp; A.5.20 (Supplier relationships)</t>
  </si>
  <si>
    <t>Initiate annual Third-Party Risk Assessment (TPRM); enforce mandatory SOC 2 Type II review before contract renewal</t>
  </si>
  <si>
    <t>Procurement &amp; Compliance Lead</t>
  </si>
  <si>
    <t>RSK-004</t>
  </si>
  <si>
    <t>Endpoint &amp; People</t>
  </si>
  <si>
    <t>Corporate Employee Laptops</t>
  </si>
  <si>
    <t>Lack of Full-Disk Encryption &amp; local administrator rights enabled</t>
  </si>
  <si>
    <t>Device theft or loss in transit leading to unencrypted data leakage (PII/Client Data)</t>
  </si>
  <si>
    <t>ISO 27001: A.8.1 &amp; A.7.7 (User endpoint devices &amp; clean desk)</t>
  </si>
  <si>
    <t>Enforce BitLocker/FileVault encryption via Intune MDM; revoke local administrator privileges</t>
  </si>
  <si>
    <t>Endpoint Security Lead</t>
  </si>
  <si>
    <t>RSK-005</t>
  </si>
  <si>
    <t>Human Layer</t>
  </si>
  <si>
    <t>Corporate Employee Email Accounts</t>
  </si>
  <si>
    <t>Staff susceptible to sophisticated spear-phishing &amp; credential harvesting</t>
  </si>
  <si>
    <t>Business Email Compromise (BEC) resulting in unauthorized fund transfer or data leakage</t>
  </si>
  <si>
    <t>ISO 27001: A.6.3 (Security awareness, education &amp; training)</t>
  </si>
  <si>
    <t>Deploy monthly simulated phishing tests; assign mandatory refresher training for repeat failers; enforce FIDO2 MFA</t>
  </si>
  <si>
    <t>CISO / Security Awareness Team</t>
  </si>
  <si>
    <t>RSK-006</t>
  </si>
  <si>
    <t>Data Storage &amp; Resilience</t>
  </si>
  <si>
    <t>Database Daily Backups</t>
  </si>
  <si>
    <t>Backups running automatically but restoration drills not tested periodically (9 months gap)</t>
  </si>
  <si>
    <t>Ransomware outbreak leaves backups corrupted or unrecoverable during a disaster</t>
  </si>
  <si>
    <t>ISO 27001: A.8.13 (Information backup)</t>
  </si>
  <si>
    <t>Establish quarterly scheduled backup restoration drills on isolated staging servers; document formal evidence sign-off</t>
  </si>
  <si>
    <t>Lead Cloud Architect</t>
  </si>
  <si>
    <t>RSK-007</t>
  </si>
  <si>
    <t>Application Layer</t>
  </si>
  <si>
    <t>Client-Facing Web Application</t>
  </si>
  <si>
    <t>Improper Input Validation (SQL Injection / XSS)</t>
  </si>
  <si>
    <t>Malicious web attacker extracting client database records via public web portal</t>
  </si>
  <si>
    <t>ISO 27001: A.8.25 &amp; A.8.28 (Secure coding standards &amp; development)</t>
  </si>
  <si>
    <t>Integrate automated DAST/SAST security scanning into CI/CD pipeline; conduct annual third-party penetration testing</t>
  </si>
  <si>
    <t>Application Security Lead</t>
  </si>
  <si>
    <t>RSK-008</t>
  </si>
  <si>
    <t>Operations &amp; Logging</t>
  </si>
  <si>
    <t>Central SIEM Platform</t>
  </si>
  <si>
    <t>Audit logs disabled or retention period &lt; 30 days on core firewalls</t>
  </si>
  <si>
    <t>Inability to reconstruct forensic timeline or satisfy regulatory compliance audits</t>
  </si>
  <si>
    <t>ISO 27001: A.8.15 (Logging)</t>
  </si>
  <si>
    <t>Centralize log ingestion to cloud SIEM; configure automated 365-day immutable storage retention policy</t>
  </si>
  <si>
    <t>Security Operations Lead</t>
  </si>
  <si>
    <t>RSK-009</t>
  </si>
  <si>
    <t>Data Privacy (PIMS)</t>
  </si>
  <si>
    <t>Customer Personal Data (PII)</t>
  </si>
  <si>
    <t>Lack of formal data retention and automated deletion procedures (GDPR/DPDP)</t>
  </si>
  <si>
    <t>Regulatory penalties from Data Protection Board of India / ICO for excessive retention</t>
  </si>
  <si>
    <t>ISO 27701: PIMS Clause 7.4.5 (Disposal of PII)</t>
  </si>
  <si>
    <t>Implement automated database data purge workflows for client accounts inactive &gt; 3 years</t>
  </si>
  <si>
    <t>Data Protection Officer (DPO)</t>
  </si>
  <si>
    <t>RSK-010</t>
  </si>
  <si>
    <t>AI &amp; Emerging Tech</t>
  </si>
  <si>
    <t>Internal AI Productivity Chatbot</t>
  </si>
  <si>
    <t>Employees inputting sensitive client source code into public LLMs</t>
  </si>
  <si>
    <t>Intellectual property leak &amp; violation of client non-disclosure agreements (NDAs)</t>
  </si>
  <si>
    <t>ISO 42001: AIMS AI Risk Management Controls</t>
  </si>
  <si>
    <t>Deploy enterprise private LLM instance with zero-retention API; enforce network DLP blocking public AI paste actions</t>
  </si>
  <si>
    <t>AI Governance &amp; Compliance Lead</t>
  </si>
  <si>
    <t>EXECUTIVE RISK SUMMARY</t>
  </si>
  <si>
    <t>Total Risks Assessed</t>
  </si>
  <si>
    <t>Inherent Critical Risks (Before Controls)</t>
  </si>
  <si>
    <t>Residual Critical Risks (After Controls)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</si>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</sst>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3" fillId="33" borderId="0" xfId="0" applyFont="1" applyFill="1" applyAlignment="1">
      <alignment wrapText="1"/>
    </xf>
    <xf numFmtId="0" fontId="13" fillId="33" borderId="0" xfId="0" applyFont="1" applyFill="1"/>
    <xf numFmtId="0" fontId="19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6DE1-777B-4C15-8F38-E074D81696C6}">
  <dimension ref="A1:R16"/>
  <sheetViews>
    <sheetView tabSelected="1" workbookViewId="0">
      <pane ySplit="1" topLeftCell="A5" activePane="bottomLeft" state="frozen"/>
      <selection pane="bottomLeft" activeCell="H3" sqref="H3"/>
    </sheetView>
  </sheetViews>
  <sheetFormatPr defaultRowHeight="14.4"/>
  <cols>
    <col min="1" max="1" width="7.6640625" bestFit="1" customWidth="1"/>
    <col min="2" max="2" width="17.6640625" customWidth="1"/>
    <col min="3" max="3" width="18.33203125" customWidth="1"/>
    <col min="4" max="4" width="18" customWidth="1"/>
    <col min="5" max="5" width="14.33203125" customWidth="1"/>
    <col min="6" max="6" width="11" customWidth="1"/>
  </cols>
  <sheetData>
    <row r="1" spans="1:18" s="3" customFormat="1" ht="86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01.6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5</v>
      </c>
      <c r="G2" s="1">
        <v>5</v>
      </c>
      <c r="H2" s="1">
        <f>F2*G2</f>
        <v>25</v>
      </c>
      <c r="I2" s="1" t="str">
        <f>IF(H2&gt;=15, "Critical", IF(H2&gt;=10, "High", IF(H2&gt;=6, "Medium", "Low")))</f>
        <v>Critical</v>
      </c>
      <c r="J2" s="1" t="s">
        <v>23</v>
      </c>
      <c r="K2" s="1" t="s">
        <v>24</v>
      </c>
      <c r="L2" s="1" t="s">
        <v>25</v>
      </c>
      <c r="M2" s="1" t="s">
        <v>26</v>
      </c>
      <c r="N2" s="1">
        <v>1</v>
      </c>
      <c r="O2" s="1">
        <v>4</v>
      </c>
      <c r="P2" s="1">
        <v>4</v>
      </c>
      <c r="Q2" s="1" t="str">
        <f>IF(P2&gt;=15, "Critical", IF(P2&gt;=10, "High", IF(P2&gt;=6, "Medium", "Low")))</f>
        <v>Low</v>
      </c>
      <c r="R2" s="1" t="s">
        <v>27</v>
      </c>
    </row>
    <row r="3" spans="1:18" ht="230.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>
        <v>4</v>
      </c>
      <c r="G3" s="1">
        <v>4</v>
      </c>
      <c r="H3" s="1">
        <f t="shared" ref="H3:H11" si="0">F3*G3</f>
        <v>16</v>
      </c>
      <c r="I3" s="1" t="str">
        <f t="shared" ref="I3:I11" si="1">IF(H3&gt;=15, "Critical", IF(H3&gt;=10, "High", IF(H3&gt;=6, "Medium", "Low")))</f>
        <v>Critical</v>
      </c>
      <c r="J3" s="1" t="s">
        <v>33</v>
      </c>
      <c r="K3" s="1" t="s">
        <v>24</v>
      </c>
      <c r="L3" s="1" t="s">
        <v>34</v>
      </c>
      <c r="M3" s="1" t="s">
        <v>35</v>
      </c>
      <c r="N3" s="1">
        <v>1</v>
      </c>
      <c r="O3" s="1">
        <v>3</v>
      </c>
      <c r="P3" s="1">
        <f>N3*O3</f>
        <v>3</v>
      </c>
      <c r="Q3" s="1" t="str">
        <f t="shared" ref="Q3:Q11" si="2">IF(P3&gt;=15, "Critical", IF(P3&gt;=10, "High", IF(P3&gt;=6, "Medium", "Low")))</f>
        <v>Low</v>
      </c>
      <c r="R3" s="1" t="s">
        <v>36</v>
      </c>
    </row>
    <row r="4" spans="1:18" ht="216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4</v>
      </c>
      <c r="G4" s="1">
        <v>4</v>
      </c>
      <c r="H4" s="1">
        <f t="shared" si="0"/>
        <v>16</v>
      </c>
      <c r="I4" s="1" t="str">
        <f t="shared" si="1"/>
        <v>Critical</v>
      </c>
      <c r="J4" s="1" t="s">
        <v>42</v>
      </c>
      <c r="K4" s="1" t="s">
        <v>24</v>
      </c>
      <c r="L4" s="1" t="s">
        <v>43</v>
      </c>
      <c r="M4" s="1" t="s">
        <v>44</v>
      </c>
      <c r="N4" s="1">
        <v>1</v>
      </c>
      <c r="O4" s="1">
        <v>3</v>
      </c>
      <c r="P4" s="1">
        <f t="shared" ref="P4:P11" si="3">N4*O4</f>
        <v>3</v>
      </c>
      <c r="Q4" s="1" t="str">
        <f t="shared" si="2"/>
        <v>Low</v>
      </c>
      <c r="R4" s="1" t="s">
        <v>27</v>
      </c>
    </row>
    <row r="5" spans="1:18" ht="172.8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3</v>
      </c>
      <c r="G5" s="1">
        <v>4</v>
      </c>
      <c r="H5" s="1">
        <f t="shared" si="0"/>
        <v>12</v>
      </c>
      <c r="I5" s="1" t="str">
        <f t="shared" si="1"/>
        <v>High</v>
      </c>
      <c r="J5" s="1" t="s">
        <v>50</v>
      </c>
      <c r="K5" s="1" t="s">
        <v>24</v>
      </c>
      <c r="L5" s="1" t="s">
        <v>51</v>
      </c>
      <c r="M5" s="1" t="s">
        <v>52</v>
      </c>
      <c r="N5" s="1">
        <v>1</v>
      </c>
      <c r="O5" s="1">
        <v>2</v>
      </c>
      <c r="P5" s="1">
        <f t="shared" si="3"/>
        <v>2</v>
      </c>
      <c r="Q5" s="1" t="str">
        <f t="shared" si="2"/>
        <v>Low</v>
      </c>
      <c r="R5" s="1" t="s">
        <v>36</v>
      </c>
    </row>
    <row r="6" spans="1:18" ht="230.4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>
        <v>3</v>
      </c>
      <c r="G6" s="1">
        <v>4</v>
      </c>
      <c r="H6" s="1">
        <f t="shared" si="0"/>
        <v>12</v>
      </c>
      <c r="I6" s="1" t="str">
        <f t="shared" si="1"/>
        <v>High</v>
      </c>
      <c r="J6" s="1" t="s">
        <v>58</v>
      </c>
      <c r="K6" s="1" t="s">
        <v>24</v>
      </c>
      <c r="L6" s="1" t="s">
        <v>59</v>
      </c>
      <c r="M6" s="1" t="s">
        <v>60</v>
      </c>
      <c r="N6" s="1">
        <v>1</v>
      </c>
      <c r="O6" s="1">
        <v>3</v>
      </c>
      <c r="P6" s="1">
        <f t="shared" si="3"/>
        <v>3</v>
      </c>
      <c r="Q6" s="1" t="str">
        <f t="shared" si="2"/>
        <v>Low</v>
      </c>
      <c r="R6" s="1" t="s">
        <v>27</v>
      </c>
    </row>
    <row r="7" spans="1:18" ht="201.6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>
        <v>4</v>
      </c>
      <c r="G7" s="1">
        <v>5</v>
      </c>
      <c r="H7" s="1">
        <f t="shared" si="0"/>
        <v>20</v>
      </c>
      <c r="I7" s="1" t="str">
        <f t="shared" si="1"/>
        <v>Critical</v>
      </c>
      <c r="J7" s="1" t="s">
        <v>66</v>
      </c>
      <c r="K7" s="1" t="s">
        <v>24</v>
      </c>
      <c r="L7" s="1" t="s">
        <v>67</v>
      </c>
      <c r="M7" s="1" t="s">
        <v>68</v>
      </c>
      <c r="N7" s="1">
        <v>1</v>
      </c>
      <c r="O7" s="1">
        <v>2</v>
      </c>
      <c r="P7" s="1">
        <f t="shared" si="3"/>
        <v>2</v>
      </c>
      <c r="Q7" s="1" t="str">
        <f t="shared" si="2"/>
        <v>Low</v>
      </c>
      <c r="R7" s="1" t="s">
        <v>27</v>
      </c>
    </row>
    <row r="8" spans="1:18" ht="230.4">
      <c r="A8" s="1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>
        <v>5</v>
      </c>
      <c r="G8" s="1">
        <v>4</v>
      </c>
      <c r="H8" s="1">
        <f t="shared" si="0"/>
        <v>20</v>
      </c>
      <c r="I8" s="1" t="str">
        <f t="shared" si="1"/>
        <v>Critical</v>
      </c>
      <c r="J8" s="1" t="s">
        <v>74</v>
      </c>
      <c r="K8" s="1" t="s">
        <v>24</v>
      </c>
      <c r="L8" s="1" t="s">
        <v>75</v>
      </c>
      <c r="M8" s="1" t="s">
        <v>76</v>
      </c>
      <c r="N8" s="1">
        <v>1</v>
      </c>
      <c r="O8" s="1">
        <v>2</v>
      </c>
      <c r="P8" s="1">
        <f t="shared" si="3"/>
        <v>2</v>
      </c>
      <c r="Q8" s="1" t="str">
        <f t="shared" si="2"/>
        <v>Low</v>
      </c>
      <c r="R8" s="1" t="s">
        <v>36</v>
      </c>
    </row>
    <row r="9" spans="1:18" ht="187.2">
      <c r="A9" s="1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>
        <v>4</v>
      </c>
      <c r="G9" s="1">
        <v>3</v>
      </c>
      <c r="H9" s="1">
        <f t="shared" si="0"/>
        <v>12</v>
      </c>
      <c r="I9" s="1" t="str">
        <f t="shared" si="1"/>
        <v>High</v>
      </c>
      <c r="J9" s="1" t="s">
        <v>82</v>
      </c>
      <c r="K9" s="1" t="s">
        <v>24</v>
      </c>
      <c r="L9" s="1" t="s">
        <v>83</v>
      </c>
      <c r="M9" s="1" t="s">
        <v>84</v>
      </c>
      <c r="N9" s="1">
        <v>1</v>
      </c>
      <c r="O9" s="1">
        <v>1</v>
      </c>
      <c r="P9" s="1">
        <f t="shared" si="3"/>
        <v>1</v>
      </c>
      <c r="Q9" s="1" t="str">
        <f t="shared" si="2"/>
        <v>Low</v>
      </c>
      <c r="R9" s="1" t="s">
        <v>36</v>
      </c>
    </row>
    <row r="10" spans="1:18" ht="187.2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>
        <v>4</v>
      </c>
      <c r="G10" s="1">
        <v>4</v>
      </c>
      <c r="H10" s="1">
        <f t="shared" si="0"/>
        <v>16</v>
      </c>
      <c r="I10" s="1" t="str">
        <f t="shared" si="1"/>
        <v>Critical</v>
      </c>
      <c r="J10" s="1" t="s">
        <v>90</v>
      </c>
      <c r="K10" s="1" t="s">
        <v>24</v>
      </c>
      <c r="L10" s="1" t="s">
        <v>91</v>
      </c>
      <c r="M10" s="1" t="s">
        <v>92</v>
      </c>
      <c r="N10" s="1">
        <v>1</v>
      </c>
      <c r="O10" s="1">
        <v>2</v>
      </c>
      <c r="P10" s="1">
        <f t="shared" si="3"/>
        <v>2</v>
      </c>
      <c r="Q10" s="1" t="str">
        <f t="shared" si="2"/>
        <v>Low</v>
      </c>
      <c r="R10" s="1" t="s">
        <v>105</v>
      </c>
    </row>
    <row r="11" spans="1:18" ht="216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>
        <v>4</v>
      </c>
      <c r="G11" s="1">
        <v>4</v>
      </c>
      <c r="H11" s="1">
        <f t="shared" si="0"/>
        <v>16</v>
      </c>
      <c r="I11" s="1" t="str">
        <f t="shared" si="1"/>
        <v>Critical</v>
      </c>
      <c r="J11" s="1" t="s">
        <v>98</v>
      </c>
      <c r="K11" s="1" t="s">
        <v>24</v>
      </c>
      <c r="L11" s="1" t="s">
        <v>99</v>
      </c>
      <c r="M11" s="1" t="s">
        <v>100</v>
      </c>
      <c r="N11" s="1">
        <v>1</v>
      </c>
      <c r="O11" s="1">
        <v>1</v>
      </c>
      <c r="P11" s="1">
        <f t="shared" si="3"/>
        <v>1</v>
      </c>
      <c r="Q11" s="1" t="str">
        <f t="shared" si="2"/>
        <v>Low</v>
      </c>
      <c r="R11" s="1" t="s">
        <v>27</v>
      </c>
    </row>
    <row r="13" spans="1:18" ht="66.599999999999994">
      <c r="A13" s="5" t="s">
        <v>101</v>
      </c>
    </row>
    <row r="14" spans="1:18" ht="53.4">
      <c r="A14" s="6" t="s">
        <v>102</v>
      </c>
      <c r="B14">
        <v>10</v>
      </c>
    </row>
    <row r="15" spans="1:18" ht="79.8">
      <c r="A15" s="6" t="s">
        <v>103</v>
      </c>
      <c r="B15" s="4">
        <f>COUNTIF(I2:I11, "Critical")</f>
        <v>7</v>
      </c>
    </row>
    <row r="16" spans="1:18" ht="79.8">
      <c r="A16" s="6" t="s">
        <v>104</v>
      </c>
      <c r="B16">
        <f>COUNTIF(Q2:Q11, "Critical")</f>
        <v>0</v>
      </c>
    </row>
  </sheetData>
  <conditionalFormatting sqref="I1:I1048576">
    <cfRule type="containsText" dxfId="6" priority="1" operator="containsText" text="High">
      <formula>NOT(ISERROR(SEARCH("High",I1)))</formula>
    </cfRule>
    <cfRule type="containsText" dxfId="5" priority="2" operator="containsText" text=" High">
      <formula>NOT(ISERROR(SEARCH(" High",I1)))</formula>
    </cfRule>
    <cfRule type="containsText" dxfId="4" priority="4" operator="containsText" text="Critical">
      <formula>NOT(ISERROR(SEARCH("Critical",I1)))</formula>
    </cfRule>
    <cfRule type="containsText" dxfId="3" priority="5" operator="containsText" text=" Critical">
      <formula>NOT(ISERROR(SEARCH(" Critical",I1)))</formula>
    </cfRule>
  </conditionalFormatting>
  <conditionalFormatting sqref="I2:I11">
    <cfRule type="containsText" dxfId="2" priority="8" operator="containsText" text=" low">
      <formula>NOT(ISERROR(SEARCH(" low",I2)))</formula>
    </cfRule>
  </conditionalFormatting>
  <conditionalFormatting sqref="Q1:Q1048576">
    <cfRule type="containsText" dxfId="1" priority="6" operator="containsText" text="Low">
      <formula>NOT(ISERROR(SEARCH("Low",Q1)))</formula>
    </cfRule>
    <cfRule type="containsText" dxfId="0" priority="7" operator="containsText" text=" low">
      <formula>NOT(ISERROR(SEARCH(" low",Q1)))</formula>
    </cfRule>
  </conditionalFormatting>
  <dataValidations count="1">
    <dataValidation type="list" allowBlank="1" showInputMessage="1" showErrorMessage="1" sqref="R2:R11" xr:uid="{62010906-EB68-43CB-B9BF-8E877CD3CD53}">
      <formula1>"Open, In Progress,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Enterprise_Risk_Register_ISO270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BHAVIKA KOTHARI</dc:creator>
  <cp:lastModifiedBy>BHAVIKA KOTHARI</cp:lastModifiedBy>
  <dcterms:created xsi:type="dcterms:W3CDTF">2026-10-10T06:14:14Z</dcterms:created>
  <dcterms:modified xsi:type="dcterms:W3CDTF">2026-10-10T08:09:07Z</dcterms:modified>
</cp:coreProperties>
</file>